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connections.xml" ContentType="application/vnd.openxmlformats-officedocument.spreadsheetml.connection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1. Annotation table" sheetId="2" state="visible" r:id="rId4"/>
    <sheet name="2. Problem table" sheetId="3" state="visible" r:id="rId5"/>
    <sheet name="3. Time annotation" sheetId="4" state="visible" r:id="rId6"/>
    <sheet name="A1. Help indicators" sheetId="5" state="visible" r:id="rId7"/>
    <sheet name="A2. Help problem formulation" sheetId="6" state="visible" r:id="rId8"/>
    <sheet name="A3. Help task moments" sheetId="7" state="visible" r:id="rId9"/>
    <sheet name="A4. Help severities" sheetId="8" state="visible" r:id="rId10"/>
    <sheet name="A5. Help types" sheetId="9" state="visible" r:id="rId11"/>
  </sheets>
  <definedNames>
    <definedName function="false" hidden="true" name="ISFOXAutomaticLabelingDisabled" vbProcedure="false">"True"</definedName>
    <definedName function="false" hidden="true" name="ISFOXClassificationHistory_0" vbProcedure="false">"AST\rahgal;7d788e96-5802-48f7-b87f-ef0226e41b7c;Public;2021-01-23T14:21:01;;IOSB-AST|"</definedName>
    <definedName function="false" hidden="true" name="ISFOXClassificationId" vbProcedure="false">"7d788e96-5802-48f7-b87f-ef0226e41b7c"</definedName>
    <definedName function="false" hidden="true" name="ISFOXClassificationInKeywords" vbProcedure="false">"Public"</definedName>
    <definedName function="false" hidden="true" name="ISFOXClassificationName" vbProcedure="false">"Public"</definedName>
    <definedName function="false" hidden="true" name="ISFOXDocumentClassificationVersion" vbProcedure="false">3</definedName>
    <definedName function="false" hidden="false" name="ISFOXLabelingDefaultPosition" vbProcedure="false">3</definedName>
    <definedName function="false" hidden="true" name="ISFOXOldClassificationId" vbProcedure="false">"7d788e96-5802-48f7-b87f-ef0226e41b7c"</definedName>
    <definedName function="false" hidden="true" name="ISFOXOldClassificationIdBackup" vbProcedure="false">"00000000-0000-0000-0000-000000000000"</definedName>
    <definedName function="false" hidden="true" name="ISFOXPrefix" vbProcedure="false">"IOSB-AST"</definedName>
    <definedName function="false" hidden="true" name="ISFOXPreviousClassificationId" vbProcedure="false">"7d788e96-5802-48f7-b87f-ef0226e41b7c"</definedName>
    <definedName function="false" hidden="true" name="ISFOXSaveAsProcess" vbProcedure="false">"True"</definedName>
    <definedName function="false" hidden="true" name="ISFOXShowClassificationRequestWindow" vbProcedure="false">"False"</definedName>
    <definedName function="false" hidden="true" name="ISFOXVersionHistoryCount" vbProcedure="false">1</definedName>
    <definedName function="false" hidden="true" name="ISFOXVersioningChanged" vbProcedure="false">"False"</definedName>
    <definedName function="false" hidden="true" name="ISFOXWorkbookInitialized" vbProcedure="false">"False"</definedName>
    <definedName function="false" hidden="true" localSheetId="1" name="ExternalData_1" vbProcedure="false">'1. Annotation table'!$A$1:$F$229</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C612AC-DF40-4BD8-BB11-F7A8F8FA9CF8}" keepAlive="1" interval="0" name="Query - evaluation_set" description="Connection to the 'evaluation_set' query in the workbook." type="5" reconnectionMethod="1" refreshedVersion="8" minRefreshableVersion="0" savePassword="0" new="0" deleted="0" onlyUseConnectionFile="0" background="1" refreshOnLoad="0" saveData="1">
    <dbPr connection="Provider=Microsoft.Mashup.OleDb.1;Data Source=$Workbook$;Location=evaluation_set;Extended Properties=&quot;&quot;" command="SELECT * FROM [evaluation_set]"/>
  </connection>
</connections>
</file>

<file path=xl/sharedStrings.xml><?xml version="1.0" encoding="utf-8"?>
<sst xmlns="http://schemas.openxmlformats.org/spreadsheetml/2006/main" count="191" uniqueCount="152">
  <si>
    <t xml:space="preserve">Instructions</t>
  </si>
  <si>
    <r>
      <rPr>
        <sz val="11"/>
        <color theme="1"/>
        <rFont val="Calibri"/>
        <family val="2"/>
        <charset val="1"/>
      </rPr>
      <t xml:space="preserve">In this table you should fill the following sheets out:
</t>
    </r>
    <r>
      <rPr>
        <b val="true"/>
        <sz val="11"/>
        <color theme="1"/>
        <rFont val="Calibri"/>
        <family val="2"/>
        <charset val="1"/>
      </rPr>
      <t xml:space="preserve">1. Annotation table:</t>
    </r>
    <r>
      <rPr>
        <sz val="11"/>
        <color theme="1"/>
        <rFont val="Calibri"/>
        <family val="2"/>
        <charset val="1"/>
      </rPr>
      <t xml:space="preserve"> here you should complete the annotation of the videos.
</t>
    </r>
    <r>
      <rPr>
        <b val="true"/>
        <sz val="11"/>
        <color theme="1"/>
        <rFont val="Calibri"/>
        <family val="2"/>
        <charset val="1"/>
      </rPr>
      <t xml:space="preserve">2. Problem table:</t>
    </r>
    <r>
      <rPr>
        <sz val="11"/>
        <color theme="1"/>
        <rFont val="Calibri"/>
        <family val="2"/>
        <charset val="1"/>
      </rPr>
      <t xml:space="preserve"> here you should register the problems that you identify in the videos.
</t>
    </r>
    <r>
      <rPr>
        <b val="true"/>
        <sz val="11"/>
        <color theme="1"/>
        <rFont val="Calibri"/>
        <family val="2"/>
        <charset val="1"/>
      </rPr>
      <t xml:space="preserve">3. Time annotation: </t>
    </r>
    <r>
      <rPr>
        <sz val="11"/>
        <color theme="1"/>
        <rFont val="Calibri"/>
        <family val="2"/>
        <charset val="1"/>
      </rPr>
      <t xml:space="preserve">here you should register the time it takes you to annotate each video.
Additionally, there 4 annexes providing help to fill the previous sheets. These are </t>
    </r>
    <r>
      <rPr>
        <b val="true"/>
        <sz val="11"/>
        <color theme="1"/>
        <rFont val="Calibri"/>
        <family val="2"/>
        <charset val="1"/>
      </rPr>
      <t xml:space="preserve">A1. Help indicators, A2. Help problem formulation, A3. Help task moments, A4. Help severities, </t>
    </r>
    <r>
      <rPr>
        <sz val="11"/>
        <color theme="1"/>
        <rFont val="Calibri"/>
        <family val="2"/>
        <charset val="1"/>
      </rPr>
      <t xml:space="preserve">and </t>
    </r>
    <r>
      <rPr>
        <b val="true"/>
        <sz val="11"/>
        <color theme="1"/>
        <rFont val="Calibri"/>
        <family val="2"/>
        <charset val="1"/>
      </rPr>
      <t xml:space="preserve">A5. Help types
</t>
    </r>
    <r>
      <rPr>
        <sz val="11"/>
        <color theme="1"/>
        <rFont val="Calibri"/>
        <family val="2"/>
        <charset val="1"/>
      </rPr>
      <t xml:space="preserve">
Complete the </t>
    </r>
    <r>
      <rPr>
        <b val="true"/>
        <sz val="11"/>
        <color theme="1"/>
        <rFont val="Calibri"/>
        <family val="2"/>
        <charset val="1"/>
      </rPr>
      <t xml:space="preserve">Interaction table (second sheet)</t>
    </r>
    <r>
      <rPr>
        <sz val="11"/>
        <color theme="1"/>
        <rFont val="Calibri"/>
        <family val="2"/>
        <charset val="1"/>
      </rPr>
      <t xml:space="preserve"> with the </t>
    </r>
    <r>
      <rPr>
        <b val="true"/>
        <sz val="11"/>
        <color theme="1"/>
        <rFont val="Calibri"/>
        <family val="2"/>
        <charset val="1"/>
      </rPr>
      <t xml:space="preserve">problem indicators </t>
    </r>
    <r>
      <rPr>
        <sz val="11"/>
        <color theme="1"/>
        <rFont val="Calibri"/>
        <family val="2"/>
        <charset val="1"/>
      </rPr>
      <t xml:space="preserve">and their respective </t>
    </r>
    <r>
      <rPr>
        <b val="true"/>
        <sz val="11"/>
        <color theme="1"/>
        <rFont val="Calibri"/>
        <family val="2"/>
        <charset val="1"/>
      </rPr>
      <t xml:space="preserve">problems</t>
    </r>
    <r>
      <rPr>
        <sz val="11"/>
        <color theme="1"/>
        <rFont val="Calibri"/>
        <family val="2"/>
        <charset val="1"/>
      </rPr>
      <t xml:space="preserve"> that you observe in each video at each moment. For each event you should fill the following fields out:</t>
    </r>
  </si>
  <si>
    <t xml:space="preserve">Fields to register in 1. Annotation table</t>
  </si>
  <si>
    <t xml:space="preserve">Field</t>
  </si>
  <si>
    <t xml:space="preserve">Description</t>
  </si>
  <si>
    <t xml:space="preserve">Required</t>
  </si>
  <si>
    <t xml:space="preserve">Help</t>
  </si>
  <si>
    <t xml:space="preserve">Name of the video being annotated.</t>
  </si>
  <si>
    <t xml:space="preserve">Yes</t>
  </si>
  <si>
    <t xml:space="preserve">(Start) time of the current indicator that is been annotated.</t>
  </si>
  <si>
    <t xml:space="preserve">Format: MM:SS</t>
  </si>
  <si>
    <t xml:space="preserve">Finish time of the current indicator that is been annotated. 
Can be empty if the event does not prolong over time.</t>
  </si>
  <si>
    <t xml:space="preserve">No</t>
  </si>
  <si>
    <t xml:space="preserve">Code of the observed indicator.</t>
  </si>
  <si>
    <t xml:space="preserve">See A1. Help indicators</t>
  </si>
  <si>
    <t xml:space="preserve">Task moment in which the indicator occurred.</t>
  </si>
  <si>
    <t xml:space="preserve">See A3. Help task moments</t>
  </si>
  <si>
    <r>
      <rPr>
        <sz val="11"/>
        <color theme="1"/>
        <rFont val="Calibri"/>
        <family val="2"/>
        <charset val="1"/>
      </rPr>
      <t xml:space="preserve">Description of the usability problem that resulted from the observed indicator. 
These </t>
    </r>
    <r>
      <rPr>
        <i val="true"/>
        <sz val="11"/>
        <color theme="1"/>
        <rFont val="Calibri"/>
        <family val="2"/>
        <charset val="1"/>
      </rPr>
      <t xml:space="preserve">must be registered in the </t>
    </r>
    <r>
      <rPr>
        <b val="true"/>
        <i val="true"/>
        <sz val="11"/>
        <color theme="1"/>
        <rFont val="Calibri"/>
        <family val="2"/>
        <charset val="1"/>
      </rPr>
      <t xml:space="preserve">2. Problem table</t>
    </r>
    <r>
      <rPr>
        <sz val="11"/>
        <color theme="1"/>
        <rFont val="Calibri"/>
        <family val="2"/>
        <charset val="1"/>
      </rPr>
      <t xml:space="preserve"> to be loaded automatically in the interaction table.</t>
    </r>
  </si>
  <si>
    <t xml:space="preserve">See section below</t>
  </si>
  <si>
    <t xml:space="preserve">Additional comments, observations to be included.</t>
  </si>
  <si>
    <t xml:space="preserve">Fields to register in 2. Problem table</t>
  </si>
  <si>
    <r>
      <rPr>
        <sz val="12"/>
        <color theme="1"/>
        <rFont val="Calibri"/>
        <family val="2"/>
        <charset val="1"/>
      </rPr>
      <t xml:space="preserve">For each identfied problem you should register ist description, severty and type in the </t>
    </r>
    <r>
      <rPr>
        <b val="true"/>
        <sz val="12"/>
        <color theme="1"/>
        <rFont val="Calibri"/>
        <family val="2"/>
        <charset val="1"/>
      </rPr>
      <t xml:space="preserve">2. Problem table</t>
    </r>
    <r>
      <rPr>
        <sz val="12"/>
        <color theme="1"/>
        <rFont val="Calibri"/>
        <family val="2"/>
        <charset val="1"/>
      </rPr>
      <t xml:space="preserve">.</t>
    </r>
  </si>
  <si>
    <t xml:space="preserve">Additional help</t>
  </si>
  <si>
    <t xml:space="preserve">problem</t>
  </si>
  <si>
    <t xml:space="preserve">Problem description from the perspective of the system.
For instance: The task's insstructions containg too much text resulting in the worker to skim only parts of it</t>
  </si>
  <si>
    <t xml:space="preserve">See 2. Problem table and A2. Help problem formulation</t>
  </si>
  <si>
    <t xml:space="preserve">severity</t>
  </si>
  <si>
    <t xml:space="preserve">Estimated severity of the observed usability problem.</t>
  </si>
  <si>
    <t xml:space="preserve">See A4. Help severities</t>
  </si>
  <si>
    <t xml:space="preserve">type</t>
  </si>
  <si>
    <t xml:space="preserve">Type of usability problem.</t>
  </si>
  <si>
    <t xml:space="preserve">See A5. Help types</t>
  </si>
  <si>
    <t xml:space="preserve">comments</t>
  </si>
  <si>
    <t xml:space="preserve">Fields to register in 3. Time annotation</t>
  </si>
  <si>
    <t xml:space="preserve">video_id</t>
  </si>
  <si>
    <t xml:space="preserve">annotation_start_time</t>
  </si>
  <si>
    <t xml:space="preserve">Time at which you start anotating the video.</t>
  </si>
  <si>
    <t xml:space="preserve">Format: HH:MM</t>
  </si>
  <si>
    <t xml:space="preserve">annotation_finish_time</t>
  </si>
  <si>
    <t xml:space="preserve">Time at which you finish anotating the video.</t>
  </si>
  <si>
    <t xml:space="preserve">Keyboard shortcuts</t>
  </si>
  <si>
    <t xml:space="preserve">Alt + Arrow down</t>
  </si>
  <si>
    <t xml:space="preserve">Open dropdown lists</t>
  </si>
  <si>
    <t xml:space="preserve">start_time</t>
  </si>
  <si>
    <t xml:space="preserve">finish_time</t>
  </si>
  <si>
    <t xml:space="preserve">indicator_code</t>
  </si>
  <si>
    <t xml:space="preserve">task_moment</t>
  </si>
  <si>
    <t xml:space="preserve">comment</t>
  </si>
  <si>
    <t xml:space="preserve">Sample problem 1</t>
  </si>
  <si>
    <t xml:space="preserve">Sample problem 2</t>
  </si>
  <si>
    <t xml:space="preserve">Sample problem 3</t>
  </si>
  <si>
    <t xml:space="preserve">duration</t>
  </si>
  <si>
    <t xml:space="preserve">Indicator code</t>
  </si>
  <si>
    <t xml:space="preserve">Short description</t>
  </si>
  <si>
    <t xml:space="preserve">Definition</t>
  </si>
  <si>
    <t xml:space="preserve">Source</t>
  </si>
  <si>
    <t xml:space="preserve">ACT</t>
  </si>
  <si>
    <t xml:space="preserve">wrong action</t>
  </si>
  <si>
    <t xml:space="preserve">an action does not belong in the correct sequence of actions
an action is omitted from the sequence
an action within a sequence is replaced by another action
actions within the sequence are performed in reversed order</t>
  </si>
  <si>
    <r>
      <rPr>
        <sz val="11"/>
        <color theme="1"/>
        <rFont val="Calibri"/>
        <family val="2"/>
        <charset val="1"/>
      </rPr>
      <t xml:space="preserve">Based on </t>
    </r>
    <r>
      <rPr>
        <b val="true"/>
        <sz val="11"/>
        <color theme="1"/>
        <rFont val="Calibri"/>
        <family val="2"/>
        <charset val="1"/>
      </rPr>
      <t xml:space="preserve">actions</t>
    </r>
    <r>
      <rPr>
        <sz val="11"/>
        <color theme="1"/>
        <rFont val="Calibri"/>
        <family val="2"/>
        <charset val="1"/>
      </rPr>
      <t xml:space="preserve"> performed </t>
    </r>
    <r>
      <rPr>
        <b val="true"/>
        <sz val="11"/>
        <color theme="1"/>
        <rFont val="Calibri"/>
        <family val="2"/>
        <charset val="1"/>
      </rPr>
      <t xml:space="preserve">on the UI/App</t>
    </r>
  </si>
  <si>
    <r>
      <rPr>
        <b val="true"/>
        <sz val="11"/>
        <color theme="1"/>
        <rFont val="Calibri"/>
        <family val="2"/>
        <charset val="1"/>
      </rPr>
      <t xml:space="preserve">Source:</t>
    </r>
    <r>
      <rPr>
        <sz val="11"/>
        <color theme="1"/>
        <rFont val="Calibri"/>
        <family val="2"/>
        <charset val="1"/>
      </rPr>
      <t xml:space="preserve"> Vermeeren, A. P. O. S., den Bouwmeester, K., Aasman, J., Ridder, H., &amp; de Ridder, H. (2002). DEVAN: A tool for detailed video analysis of user test data. Behaviour &amp; IT, 21(6), 403–423. https://doi.org/10.1080/0144929021000051714</t>
    </r>
  </si>
  <si>
    <t xml:space="preserve">DISC</t>
  </si>
  <si>
    <t xml:space="preserve">discontinues action</t>
  </si>
  <si>
    <t xml:space="preserve">user points at function as if to start executing it, but then does not
user stops executing action, before it is finished</t>
  </si>
  <si>
    <t xml:space="preserve">EXE</t>
  </si>
  <si>
    <t xml:space="preserve">execution problem </t>
  </si>
  <si>
    <t xml:space="preserve">execution of action not done correctly or optimally</t>
  </si>
  <si>
    <t xml:space="preserve">REP</t>
  </si>
  <si>
    <t xml:space="preserve">repeated action </t>
  </si>
  <si>
    <t xml:space="preserve">an action is repeated with the same effect</t>
  </si>
  <si>
    <t xml:space="preserve">CORR</t>
  </si>
  <si>
    <t xml:space="preserve">corrective action</t>
  </si>
  <si>
    <t xml:space="preserve">an action is corrected with a subsequent action (or sequence of actions)
an action is undone</t>
  </si>
  <si>
    <t xml:space="preserve">STOP</t>
  </si>
  <si>
    <t xml:space="preserve">task stopped</t>
  </si>
  <si>
    <t xml:space="preserve">starts new task, before having successfully finished the current task</t>
  </si>
  <si>
    <t xml:space="preserve">GOAL</t>
  </si>
  <si>
    <t xml:space="preserve">wrong goal</t>
  </si>
  <si>
    <t xml:space="preserve">user formulates a goal that cannot be achieved with the product or that
does not contribute to achieving the task goal</t>
  </si>
  <si>
    <r>
      <rPr>
        <sz val="11"/>
        <color theme="1"/>
        <rFont val="Calibri"/>
        <family val="2"/>
        <charset val="1"/>
      </rPr>
      <t xml:space="preserve">Based on </t>
    </r>
    <r>
      <rPr>
        <b val="true"/>
        <sz val="11"/>
        <color theme="1"/>
        <rFont val="Calibri"/>
        <family val="2"/>
        <charset val="1"/>
      </rPr>
      <t xml:space="preserve">verbal or non-verbal behaviour</t>
    </r>
    <r>
      <rPr>
        <sz val="11"/>
        <color theme="1"/>
        <rFont val="Calibri"/>
        <family val="2"/>
        <charset val="1"/>
      </rPr>
      <t xml:space="preserve"> from the worker</t>
    </r>
  </si>
  <si>
    <t xml:space="preserve">PUZZ</t>
  </si>
  <si>
    <t xml:space="preserve">puzzled</t>
  </si>
  <si>
    <t xml:space="preserve">user indicates:
not to know how to perform the task or what function is needed for it
not to be sure whether a specific action is needed or not</t>
  </si>
  <si>
    <t xml:space="preserve">RAND</t>
  </si>
  <si>
    <t xml:space="preserve">random actions</t>
  </si>
  <si>
    <t xml:space="preserve">user indicates:
that the current action(s) are chosen randomly</t>
  </si>
  <si>
    <t xml:space="preserve">SEARCH</t>
  </si>
  <si>
    <t xml:space="preserve">searches for function</t>
  </si>
  <si>
    <t xml:space="preserve">user indicates:
not being able to locate a specific function
to be searching for a function of which the analyst knows it does not exist</t>
  </si>
  <si>
    <t xml:space="preserve">DIFF</t>
  </si>
  <si>
    <t xml:space="preserve">execution difficulty</t>
  </si>
  <si>
    <t xml:space="preserve">user indicates:
having physical problems in executing an action
that executing the action is difficult or uncomfortable</t>
  </si>
  <si>
    <t xml:space="preserve">DSF</t>
  </si>
  <si>
    <t xml:space="preserve">doubt, surprise, frustration</t>
  </si>
  <si>
    <t xml:space="preserve">user indicates:
not to be sure whether an action was executed properly
not to understand an action’s effect
to be surprised by an action’s effect
the effect of an action was unsatisfactory or frustrated the user</t>
  </si>
  <si>
    <t xml:space="preserve">REC</t>
  </si>
  <si>
    <t xml:space="preserve">recognition of error or
misunderstanding</t>
  </si>
  <si>
    <t xml:space="preserve">user indicates:
to recognise a preceding error
to understand something previously not understood</t>
  </si>
  <si>
    <t xml:space="preserve">QUIT</t>
  </si>
  <si>
    <t xml:space="preserve">quits task</t>
  </si>
  <si>
    <t xml:space="preserve">user indicates:
to recognise that the current task was not finished successfully, but continues with a subsequent task</t>
  </si>
  <si>
    <r>
      <rPr>
        <b val="true"/>
        <sz val="12"/>
        <color theme="4" tint="-0.5"/>
        <rFont val="Calibri"/>
        <family val="2"/>
        <charset val="1"/>
      </rPr>
      <t xml:space="preserve">Problem definition:
</t>
    </r>
    <r>
      <rPr>
        <sz val="11"/>
        <color theme="1"/>
        <rFont val="Calibri"/>
        <family val="2"/>
        <charset val="1"/>
      </rPr>
      <t xml:space="preserve">"A usability problem is an aspect of the system and/ or a demand on the user which makes it unpleasant, inefficient, onerous or impossible for the user to achieve their goals in typical usage situations."
</t>
    </r>
    <r>
      <rPr>
        <i val="true"/>
        <sz val="9"/>
        <color theme="1"/>
        <rFont val="Calibri"/>
        <family val="2"/>
        <charset val="1"/>
      </rPr>
      <t xml:space="preserve">Source</t>
    </r>
    <r>
      <rPr>
        <sz val="9"/>
        <color theme="1"/>
        <rFont val="Calibri"/>
        <family val="2"/>
        <charset val="1"/>
      </rPr>
      <t xml:space="preserve">: Lavery, D., Cockton, G., &amp; Atkinson, M. P. (1997). Comparison of evaluation methods using structured usability problem reports. Behaviour &amp; Information Technology, 16(4–5), 246–266.
</t>
    </r>
    <r>
      <rPr>
        <b val="true"/>
        <sz val="11"/>
        <color theme="1"/>
        <rFont val="Calibri"/>
        <family val="2"/>
        <charset val="1"/>
      </rPr>
      <t xml:space="preserve">
</t>
    </r>
    <r>
      <rPr>
        <b val="true"/>
        <sz val="12"/>
        <color theme="4" tint="-0.5"/>
        <rFont val="Calibri"/>
        <family val="2"/>
        <charset val="1"/>
      </rPr>
      <t xml:space="preserve">Problem formulation from system/task perspective:
</t>
    </r>
    <r>
      <rPr>
        <sz val="11"/>
        <color theme="1"/>
        <rFont val="Calibri"/>
        <family val="2"/>
        <charset val="1"/>
      </rPr>
      <t xml:space="preserve">Problems can be formulated from task/UI perspective using the following formula:
</t>
    </r>
    <r>
      <rPr>
        <i val="true"/>
        <sz val="11"/>
        <color theme="1"/>
        <rFont val="Calibri"/>
        <family val="2"/>
        <charset val="1"/>
      </rPr>
      <t xml:space="preserve">
The [Task/UI Element] [Problem formulation] resulting in/leading to the [Worker's Difficulty]
</t>
    </r>
    <r>
      <rPr>
        <b val="true"/>
        <sz val="11"/>
        <color theme="1"/>
        <rFont val="Calibri"/>
        <family val="2"/>
        <charset val="1"/>
      </rPr>
      <t xml:space="preserve">
Examples:
</t>
    </r>
    <r>
      <rPr>
        <sz val="11"/>
        <color theme="1"/>
        <rFont val="Calibri"/>
        <family val="2"/>
        <charset val="1"/>
      </rPr>
      <t xml:space="preserve">1. The initial tasks' instructions contain too much text resulting in th worker to skim some partas of it
2. The task's tutorial includes a timer that results in the worker drawing his attention to it instead of watching the video
3. Some images are too dense resulting in workers annotating just parts of a tumor
</t>
    </r>
    <r>
      <rPr>
        <b val="true"/>
        <sz val="12"/>
        <color theme="4" tint="-0.5"/>
        <rFont val="Calibri"/>
        <family val="2"/>
        <charset val="1"/>
      </rPr>
      <t xml:space="preserve">Problem formulation from workers' perspective:
</t>
    </r>
    <r>
      <rPr>
        <sz val="11"/>
        <color theme="1"/>
        <rFont val="Calibri"/>
        <family val="2"/>
        <charset val="1"/>
      </rPr>
      <t xml:space="preserve">Problems can also be formulated from worker perspective using the following formula:
</t>
    </r>
    <r>
      <rPr>
        <i val="true"/>
        <sz val="11"/>
        <color theme="1"/>
        <rFont val="Calibri"/>
        <family val="2"/>
        <charset val="1"/>
      </rPr>
      <t xml:space="preserve">Worker does [Unexpected action] instead of [Expected action]
</t>
    </r>
    <r>
      <rPr>
        <sz val="11"/>
        <color theme="1"/>
        <rFont val="Calibri"/>
        <family val="2"/>
        <charset val="1"/>
      </rPr>
      <t xml:space="preserve">
</t>
    </r>
    <r>
      <rPr>
        <b val="true"/>
        <sz val="11"/>
        <color theme="1"/>
        <rFont val="Calibri"/>
        <family val="2"/>
        <charset val="1"/>
      </rPr>
      <t xml:space="preserve">Examples:
</t>
    </r>
    <r>
      <rPr>
        <sz val="11"/>
        <color theme="1"/>
        <rFont val="Calibri"/>
        <family val="2"/>
        <charset val="1"/>
      </rPr>
      <t xml:space="preserve">1. Worker moves cursor directly to next button instead of readign the instructions
2. Worker draws a region directly/randomly instead of inspecting the image accoriding to the instructions
3. Worker annotates red regions instead of tumor regions</t>
    </r>
  </si>
  <si>
    <t xml:space="preserve">Task moment</t>
  </si>
  <si>
    <t xml:space="preserve">Example</t>
  </si>
  <si>
    <t xml:space="preserve">Optional</t>
  </si>
  <si>
    <t xml:space="preserve">Qualification</t>
  </si>
  <si>
    <t xml:space="preserve">Test or qualifications made by the workers. It can be before or after initial insturctions.</t>
  </si>
  <si>
    <t xml:space="preserve">Language proficiency test.
Technical test on the browser.</t>
  </si>
  <si>
    <t xml:space="preserve">Any type of instructions shown to the worker. Normally at the beginning of the task.
Sometimes also shown in task.</t>
  </si>
  <si>
    <t xml:space="preserve">Demographic questionnaire</t>
  </si>
  <si>
    <t xml:space="preserve">Questionnaire asking for demograhic details of workers. It can contain validity-check questions.</t>
  </si>
  <si>
    <t xml:space="preserve">Training</t>
  </si>
  <si>
    <t xml:space="preserve">Interactive or non-interactive demos or tests to foster instructions understanding.</t>
  </si>
  <si>
    <t xml:space="preserve">Quiz, interactive demo, video.</t>
  </si>
  <si>
    <t xml:space="preserve">Main task</t>
  </si>
  <si>
    <t xml:space="preserve">Main activity that workers should conduct. This task is the actual collection of data to be later used.</t>
  </si>
  <si>
    <t xml:space="preserve">Final questionnaire</t>
  </si>
  <si>
    <t xml:space="preserve">Questionnaite asking about the experience with the main task. It can contain validity-check questions.</t>
  </si>
  <si>
    <t xml:space="preserve">Motivation questionnaire.</t>
  </si>
  <si>
    <t xml:space="preserve">Payment</t>
  </si>
  <si>
    <t xml:space="preserve">Payment information.</t>
  </si>
  <si>
    <t xml:space="preserve">Help/Support/Feedback</t>
  </si>
  <si>
    <t xml:space="preserve">Any help/support/feedback channel offer to the workers.</t>
  </si>
  <si>
    <t xml:space="preserve">Severity</t>
  </si>
  <si>
    <t xml:space="preserve">Slowed down (relative to normal speed)</t>
  </si>
  <si>
    <t xml:space="preserve">Understanding</t>
  </si>
  <si>
    <t xml:space="preserve">Frustration</t>
  </si>
  <si>
    <t xml:space="preserve">Critical</t>
  </si>
  <si>
    <t xml:space="preserve">Hindered in solving the task </t>
  </si>
  <si>
    <t xml:space="preserve">Does not understand how information in the system can be used for solving a task. 
Repeats the same information in different parts of the system.</t>
  </si>
  <si>
    <r>
      <rPr>
        <b val="true"/>
        <sz val="11"/>
        <color theme="1"/>
        <rFont val="Calibri"/>
        <family val="2"/>
        <charset val="1"/>
      </rPr>
      <t xml:space="preserve">Source: </t>
    </r>
    <r>
      <rPr>
        <sz val="11"/>
        <color theme="1"/>
        <rFont val="Calibri"/>
        <family val="2"/>
        <charset val="1"/>
      </rPr>
      <t xml:space="preserve">Skov, M. B., &amp; Stage, J. (2005). Supporting Problem Identification in Usability Evaluations. Proceedings of the 17th Australia Conference on Computer-Human Interaction: Citizens Online: Considerations for Today and the Future, 1–9. Narrabundah, AUS: Computer-Human Interaction Special Interest Group (CHISIG) of Australia.</t>
    </r>
  </si>
  <si>
    <t xml:space="preserve">Serious</t>
  </si>
  <si>
    <t xml:space="preserve">Delayed for several seconds </t>
  </si>
  <si>
    <t xml:space="preserve">Does not understand how a specific functionality operates or is activated.
Cannot explain the functioning of the system.</t>
  </si>
  <si>
    <t xml:space="preserve">Is clearly annoyed by something that cannot be done or remembered or something illogical that you must do.
Believes he has damaged something.</t>
  </si>
  <si>
    <t xml:space="preserve">Cosmetic</t>
  </si>
  <si>
    <t xml:space="preserve">Delayed for a few seconds </t>
  </si>
  <si>
    <t xml:space="preserve">Does actions without being able to explain why (you just have to do it).</t>
  </si>
  <si>
    <t xml:space="preserve">Type</t>
  </si>
  <si>
    <t xml:space="preserve">Navigation</t>
  </si>
  <si>
    <t xml:space="preserve">Participants have problems navigating between pages or identifying suitable links for information/functions.</t>
  </si>
  <si>
    <t xml:space="preserve">The participant has trouble returning to the home page.</t>
  </si>
  <si>
    <t xml:space="preserve">Layout</t>
  </si>
  <si>
    <t xml:space="preserve">Participants encounter difficulties due to web elements, display problems, visibility issues, inconsistency, and problematic structure and form design.</t>
  </si>
  <si>
    <t xml:space="preserve">The participant feels that the font is too small.</t>
  </si>
  <si>
    <r>
      <rPr>
        <b val="true"/>
        <sz val="11"/>
        <color theme="1"/>
        <rFont val="Calibri"/>
        <family val="2"/>
        <charset val="1"/>
      </rPr>
      <t xml:space="preserve">Source: </t>
    </r>
    <r>
      <rPr>
        <sz val="11"/>
        <color theme="1"/>
        <rFont val="Calibri"/>
        <family val="2"/>
        <charset val="1"/>
      </rPr>
      <t xml:space="preserve">Alhadreti, O., &amp; Mayhew, P. (2017). To Intervene or Not to Intervene: An Investigation of Three Think-Aloud Protocols in Usability Testing. J. Usability Studies, 12(3), 111–132. https://doi.org/10.5555/3190862.3190865</t>
    </r>
  </si>
  <si>
    <t xml:space="preserve">Content</t>
  </si>
  <si>
    <t xml:space="preserve">Participants think certain information is unnecessary or is absent; Participants have problems understanding the information including terminology and dialogue.</t>
  </si>
  <si>
    <t xml:space="preserve">The participant does not understand the feedback of an error messages.</t>
  </si>
  <si>
    <t xml:space="preserve">Functionality</t>
  </si>
  <si>
    <t xml:space="preserve">Participants encounter difficulties due to the absence of certain functions or the presence of problematic functions.</t>
  </si>
  <si>
    <t xml:space="preserve">The participant expects an option on the “Catalogue” page to specify how many items to load per page.</t>
  </si>
</sst>
</file>

<file path=xl/styles.xml><?xml version="1.0" encoding="utf-8"?>
<styleSheet xmlns="http://schemas.openxmlformats.org/spreadsheetml/2006/main">
  <numFmts count="2">
    <numFmt numFmtId="164" formatCode="General"/>
    <numFmt numFmtId="165" formatCode="hh:mm"/>
  </numFmts>
  <fonts count="13">
    <font>
      <sz val="11"/>
      <color theme="1"/>
      <name val="Calibri"/>
      <family val="2"/>
      <charset val="1"/>
    </font>
    <font>
      <sz val="10"/>
      <name val="Arial"/>
      <family val="0"/>
    </font>
    <font>
      <sz val="10"/>
      <name val="Arial"/>
      <family val="0"/>
    </font>
    <font>
      <sz val="10"/>
      <name val="Arial"/>
      <family val="0"/>
    </font>
    <font>
      <b val="true"/>
      <sz val="14"/>
      <color theme="4" tint="-0.5"/>
      <name val="Calibri"/>
      <family val="2"/>
      <charset val="1"/>
    </font>
    <font>
      <b val="true"/>
      <sz val="11"/>
      <color theme="1"/>
      <name val="Calibri"/>
      <family val="2"/>
      <charset val="1"/>
    </font>
    <font>
      <b val="true"/>
      <sz val="12"/>
      <color theme="4" tint="-0.5"/>
      <name val="Calibri"/>
      <family val="2"/>
      <charset val="1"/>
    </font>
    <font>
      <i val="true"/>
      <sz val="11"/>
      <color theme="1"/>
      <name val="Calibri"/>
      <family val="2"/>
      <charset val="1"/>
    </font>
    <font>
      <b val="true"/>
      <i val="true"/>
      <sz val="11"/>
      <color theme="1"/>
      <name val="Calibri"/>
      <family val="2"/>
      <charset val="1"/>
    </font>
    <font>
      <b val="true"/>
      <sz val="12"/>
      <color theme="1"/>
      <name val="Calibri"/>
      <family val="2"/>
      <charset val="1"/>
    </font>
    <font>
      <sz val="12"/>
      <color theme="1"/>
      <name val="Calibri"/>
      <family val="2"/>
      <charset val="1"/>
    </font>
    <font>
      <i val="true"/>
      <sz val="9"/>
      <color theme="1"/>
      <name val="Calibri"/>
      <family val="2"/>
      <charset val="1"/>
    </font>
    <font>
      <sz val="9"/>
      <color theme="1"/>
      <name val="Calibri"/>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20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Relationship Id="rId13" Type="http://schemas.openxmlformats.org/officeDocument/2006/relationships/connections" Target="connection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104760</xdr:colOff>
      <xdr:row>2</xdr:row>
      <xdr:rowOff>81000</xdr:rowOff>
    </xdr:from>
    <xdr:to>
      <xdr:col>27</xdr:col>
      <xdr:colOff>418680</xdr:colOff>
      <xdr:row>9</xdr:row>
      <xdr:rowOff>193680</xdr:rowOff>
    </xdr:to>
    <xdr:pic>
      <xdr:nvPicPr>
        <xdr:cNvPr id="1" name="Picture 2"/>
        <xdr:cNvPicPr/>
      </xdr:nvPicPr>
      <xdr:blipFill>
        <a:blip r:embed="rId1"/>
        <a:stretch/>
      </xdr:blipFill>
      <xdr:spPr>
        <a:xfrm>
          <a:off x="20624760" y="858960"/>
          <a:ext cx="7180200" cy="2037960"/>
        </a:xfrm>
        <a:prstGeom prst="rect">
          <a:avLst/>
        </a:prstGeom>
        <a:noFill/>
        <a:ln w="0">
          <a:noFill/>
        </a:ln>
      </xdr:spPr>
    </xdr:pic>
    <xdr:clientData/>
  </xdr:twoCellAnchor>
  <xdr:twoCellAnchor editAs="oneCell">
    <xdr:from>
      <xdr:col>15</xdr:col>
      <xdr:colOff>604800</xdr:colOff>
      <xdr:row>13</xdr:row>
      <xdr:rowOff>19080</xdr:rowOff>
    </xdr:from>
    <xdr:to>
      <xdr:col>26</xdr:col>
      <xdr:colOff>14040</xdr:colOff>
      <xdr:row>18</xdr:row>
      <xdr:rowOff>69480</xdr:rowOff>
    </xdr:to>
    <xdr:pic>
      <xdr:nvPicPr>
        <xdr:cNvPr id="2" name="Picture 3"/>
        <xdr:cNvPicPr/>
      </xdr:nvPicPr>
      <xdr:blipFill>
        <a:blip r:embed="rId2"/>
        <a:stretch/>
      </xdr:blipFill>
      <xdr:spPr>
        <a:xfrm>
          <a:off x="20500560" y="4645080"/>
          <a:ext cx="6275520" cy="15120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361800</xdr:colOff>
      <xdr:row>0</xdr:row>
      <xdr:rowOff>43200</xdr:rowOff>
    </xdr:from>
    <xdr:to>
      <xdr:col>12</xdr:col>
      <xdr:colOff>85320</xdr:colOff>
      <xdr:row>11</xdr:row>
      <xdr:rowOff>163440</xdr:rowOff>
    </xdr:to>
    <xdr:pic>
      <xdr:nvPicPr>
        <xdr:cNvPr id="3" name="Picture 1"/>
        <xdr:cNvPicPr/>
      </xdr:nvPicPr>
      <xdr:blipFill>
        <a:blip r:embed="rId1"/>
        <a:srcRect l="0" t="0" r="27606" b="0"/>
        <a:stretch/>
      </xdr:blipFill>
      <xdr:spPr>
        <a:xfrm>
          <a:off x="9061200" y="43200"/>
          <a:ext cx="4798440" cy="3032280"/>
        </a:xfrm>
        <a:prstGeom prst="rect">
          <a:avLst/>
        </a:prstGeom>
        <a:noFill/>
        <a:ln w="0">
          <a:noFill/>
        </a:ln>
      </xdr:spPr>
    </xdr:pic>
    <xdr:clientData/>
  </xdr:twoCellAnchor>
</xdr:wsDr>
</file>

<file path=xl/tables/table1.xml><?xml version="1.0" encoding="utf-8"?>
<table xmlns="http://schemas.openxmlformats.org/spreadsheetml/2006/main" id="1" name="evaluation_set" displayName="evaluation_set" ref="A1:G229" headerRowCount="1" totalsRowCount="0" totalsRowShown="0">
  <autoFilter ref="A1:G229"/>
  <tableColumns count="7">
    <tableColumn id="1" name="video_id"/>
    <tableColumn id="2" name="start_time"/>
    <tableColumn id="3" name="finish_time"/>
    <tableColumn id="4" name="indicator_code"/>
    <tableColumn id="5" name="task_moment"/>
    <tableColumn id="6" name="problem"/>
    <tableColumn id="7" name="comments"/>
  </tableColumns>
  <tableStyleInfo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D21" activeCellId="0" sqref="D21"/>
    </sheetView>
  </sheetViews>
  <sheetFormatPr defaultColWidth="8.859375" defaultRowHeight="15" customHeight="false" zeroHeight="false" outlineLevelRow="0" outlineLevelCol="0"/>
  <cols>
    <col collapsed="false" customWidth="true" hidden="false" outlineLevel="0" max="1" min="1" style="1" width="20"/>
    <col collapsed="false" customWidth="true" hidden="false" outlineLevel="0" max="2" min="2" style="1" width="45.85"/>
    <col collapsed="false" customWidth="true" hidden="false" outlineLevel="0" max="3" min="3" style="0" width="10.14"/>
    <col collapsed="false" customWidth="true" hidden="false" outlineLevel="0" max="4" min="4" style="0" width="25.57"/>
  </cols>
  <sheetData>
    <row r="1" customFormat="false" ht="17.35" hidden="false" customHeight="true" outlineLevel="0" collapsed="false">
      <c r="A1" s="2" t="s">
        <v>0</v>
      </c>
      <c r="B1" s="2"/>
      <c r="C1" s="2"/>
      <c r="D1" s="2"/>
    </row>
    <row r="2" customFormat="false" ht="17.35" hidden="false" customHeight="false" outlineLevel="0" collapsed="false">
      <c r="A2" s="3"/>
      <c r="B2" s="3"/>
      <c r="C2" s="3"/>
    </row>
    <row r="3" customFormat="false" ht="117.75" hidden="false" customHeight="true" outlineLevel="0" collapsed="false">
      <c r="A3" s="4" t="s">
        <v>1</v>
      </c>
      <c r="B3" s="4"/>
      <c r="C3" s="4"/>
      <c r="D3" s="4"/>
    </row>
    <row r="4" customFormat="false" ht="15" hidden="false" customHeight="false" outlineLevel="0" collapsed="false">
      <c r="A4" s="5"/>
      <c r="B4" s="5"/>
      <c r="C4" s="5"/>
    </row>
    <row r="5" customFormat="false" ht="15.75" hidden="false" customHeight="true" outlineLevel="0" collapsed="false">
      <c r="A5" s="6" t="s">
        <v>2</v>
      </c>
      <c r="B5" s="6"/>
      <c r="C5" s="6"/>
      <c r="D5" s="6"/>
    </row>
    <row r="6" customFormat="false" ht="15" hidden="false" customHeight="false" outlineLevel="0" collapsed="false">
      <c r="A6" s="7"/>
    </row>
    <row r="7" customFormat="false" ht="15" hidden="false" customHeight="false" outlineLevel="0" collapsed="false">
      <c r="A7" s="8" t="s">
        <v>3</v>
      </c>
      <c r="B7" s="8" t="s">
        <v>4</v>
      </c>
      <c r="C7" s="9" t="s">
        <v>5</v>
      </c>
      <c r="D7" s="9" t="s">
        <v>6</v>
      </c>
    </row>
    <row r="8" customFormat="false" ht="15" hidden="false" customHeight="false" outlineLevel="0" collapsed="false">
      <c r="A8" s="10" t="str">
        <f aca="false">evaluation_set[[#Headers],[video_id]]</f>
        <v>video_id</v>
      </c>
      <c r="B8" s="11" t="s">
        <v>7</v>
      </c>
      <c r="C8" s="12" t="s">
        <v>8</v>
      </c>
      <c r="D8" s="12"/>
    </row>
    <row r="9" customFormat="false" ht="23.85" hidden="false" customHeight="false" outlineLevel="0" collapsed="false">
      <c r="A9" s="10" t="str">
        <f aca="false">evaluation_set[[#Headers],[start_time]]</f>
        <v>start_time</v>
      </c>
      <c r="B9" s="11" t="s">
        <v>9</v>
      </c>
      <c r="C9" s="12" t="s">
        <v>8</v>
      </c>
      <c r="D9" s="12" t="s">
        <v>10</v>
      </c>
    </row>
    <row r="10" customFormat="false" ht="46.25" hidden="false" customHeight="false" outlineLevel="0" collapsed="false">
      <c r="A10" s="10" t="str">
        <f aca="false">evaluation_set[[#Headers],[finish_time]]</f>
        <v>finish_time</v>
      </c>
      <c r="B10" s="11" t="s">
        <v>11</v>
      </c>
      <c r="C10" s="12" t="s">
        <v>12</v>
      </c>
      <c r="D10" s="12" t="s">
        <v>10</v>
      </c>
    </row>
    <row r="11" customFormat="false" ht="15" hidden="false" customHeight="false" outlineLevel="0" collapsed="false">
      <c r="A11" s="10" t="str">
        <f aca="false">evaluation_set[[#Headers],[indicator_code]]</f>
        <v>indicator_code</v>
      </c>
      <c r="B11" s="11" t="s">
        <v>13</v>
      </c>
      <c r="C11" s="12" t="s">
        <v>8</v>
      </c>
      <c r="D11" s="12" t="s">
        <v>14</v>
      </c>
    </row>
    <row r="12" customFormat="false" ht="15" hidden="false" customHeight="false" outlineLevel="0" collapsed="false">
      <c r="A12" s="10" t="str">
        <f aca="false">evaluation_set[[#Headers],[task_moment]]</f>
        <v>task_moment</v>
      </c>
      <c r="B12" s="11" t="s">
        <v>15</v>
      </c>
      <c r="C12" s="12" t="s">
        <v>8</v>
      </c>
      <c r="D12" s="12" t="s">
        <v>16</v>
      </c>
    </row>
    <row r="13" customFormat="false" ht="46.25" hidden="false" customHeight="false" outlineLevel="0" collapsed="false">
      <c r="A13" s="10" t="str">
        <f aca="false">evaluation_set[[#Headers],[problem]]</f>
        <v>problem</v>
      </c>
      <c r="B13" s="11" t="s">
        <v>17</v>
      </c>
      <c r="C13" s="12" t="s">
        <v>8</v>
      </c>
      <c r="D13" s="12" t="s">
        <v>18</v>
      </c>
    </row>
    <row r="14" customFormat="false" ht="15" hidden="false" customHeight="false" outlineLevel="0" collapsed="false">
      <c r="A14" s="13" t="str">
        <f aca="false">evaluation_set[[#Headers],[comments]]</f>
        <v>comments</v>
      </c>
      <c r="B14" s="14" t="s">
        <v>19</v>
      </c>
      <c r="C14" s="15" t="s">
        <v>12</v>
      </c>
      <c r="D14" s="15"/>
    </row>
    <row r="16" customFormat="false" ht="15.75" hidden="false" customHeight="true" outlineLevel="0" collapsed="false">
      <c r="A16" s="6" t="s">
        <v>20</v>
      </c>
      <c r="B16" s="6"/>
      <c r="C16" s="6"/>
      <c r="D16" s="6"/>
    </row>
    <row r="17" customFormat="false" ht="15" hidden="false" customHeight="false" outlineLevel="0" collapsed="false">
      <c r="B17" s="16"/>
      <c r="C17" s="16"/>
    </row>
    <row r="18" customFormat="false" ht="15" hidden="false" customHeight="true" outlineLevel="0" collapsed="false">
      <c r="A18" s="17" t="s">
        <v>21</v>
      </c>
      <c r="B18" s="17"/>
      <c r="C18" s="17"/>
      <c r="D18" s="17"/>
    </row>
    <row r="20" customFormat="false" ht="15" hidden="false" customHeight="false" outlineLevel="0" collapsed="false">
      <c r="A20" s="8" t="s">
        <v>3</v>
      </c>
      <c r="B20" s="8" t="s">
        <v>4</v>
      </c>
      <c r="C20" s="9" t="s">
        <v>5</v>
      </c>
      <c r="D20" s="9" t="s">
        <v>22</v>
      </c>
    </row>
    <row r="21" customFormat="false" ht="57.45" hidden="false" customHeight="false" outlineLevel="0" collapsed="false">
      <c r="A21" s="10" t="s">
        <v>23</v>
      </c>
      <c r="B21" s="11" t="s">
        <v>24</v>
      </c>
      <c r="C21" s="12" t="s">
        <v>8</v>
      </c>
      <c r="D21" s="11" t="s">
        <v>25</v>
      </c>
    </row>
    <row r="22" customFormat="false" ht="15" hidden="false" customHeight="false" outlineLevel="0" collapsed="false">
      <c r="A22" s="10" t="s">
        <v>26</v>
      </c>
      <c r="B22" s="11" t="s">
        <v>27</v>
      </c>
      <c r="C22" s="12" t="s">
        <v>8</v>
      </c>
      <c r="D22" s="12" t="s">
        <v>28</v>
      </c>
    </row>
    <row r="23" customFormat="false" ht="15" hidden="false" customHeight="false" outlineLevel="0" collapsed="false">
      <c r="A23" s="10" t="s">
        <v>29</v>
      </c>
      <c r="B23" s="11" t="s">
        <v>30</v>
      </c>
      <c r="C23" s="12" t="s">
        <v>8</v>
      </c>
      <c r="D23" s="12" t="s">
        <v>31</v>
      </c>
    </row>
    <row r="24" customFormat="false" ht="15" hidden="false" customHeight="false" outlineLevel="0" collapsed="false">
      <c r="A24" s="13" t="s">
        <v>32</v>
      </c>
      <c r="B24" s="14" t="s">
        <v>19</v>
      </c>
      <c r="C24" s="15" t="s">
        <v>12</v>
      </c>
      <c r="D24" s="15"/>
    </row>
    <row r="26" customFormat="false" ht="14.25" hidden="false" customHeight="true" outlineLevel="0" collapsed="false">
      <c r="A26" s="6" t="s">
        <v>33</v>
      </c>
      <c r="B26" s="6"/>
      <c r="C26" s="6"/>
    </row>
    <row r="28" customFormat="false" ht="15.75" hidden="false" customHeight="true" outlineLevel="0" collapsed="false">
      <c r="A28" s="8" t="s">
        <v>3</v>
      </c>
      <c r="B28" s="8" t="s">
        <v>4</v>
      </c>
      <c r="C28" s="9" t="s">
        <v>5</v>
      </c>
      <c r="D28" s="9" t="s">
        <v>22</v>
      </c>
    </row>
    <row r="29" customFormat="false" ht="15" hidden="false" customHeight="false" outlineLevel="0" collapsed="false">
      <c r="A29" s="18" t="s">
        <v>34</v>
      </c>
      <c r="B29" s="11" t="s">
        <v>7</v>
      </c>
      <c r="C29" s="12" t="s">
        <v>8</v>
      </c>
      <c r="D29" s="12"/>
    </row>
    <row r="30" customFormat="false" ht="15" hidden="false" customHeight="false" outlineLevel="0" collapsed="false">
      <c r="A30" s="18" t="s">
        <v>35</v>
      </c>
      <c r="B30" s="11" t="s">
        <v>36</v>
      </c>
      <c r="C30" s="12" t="s">
        <v>8</v>
      </c>
      <c r="D30" s="12" t="s">
        <v>37</v>
      </c>
    </row>
    <row r="31" customFormat="false" ht="15" hidden="false" customHeight="false" outlineLevel="0" collapsed="false">
      <c r="A31" s="19" t="s">
        <v>38</v>
      </c>
      <c r="B31" s="14" t="s">
        <v>39</v>
      </c>
      <c r="C31" s="15" t="s">
        <v>8</v>
      </c>
      <c r="D31" s="15" t="s">
        <v>37</v>
      </c>
    </row>
    <row r="33" customFormat="false" ht="15" hidden="false" customHeight="true" outlineLevel="0" collapsed="false">
      <c r="A33" s="20" t="s">
        <v>40</v>
      </c>
      <c r="B33" s="20"/>
      <c r="C33" s="20"/>
    </row>
    <row r="35" customFormat="false" ht="15" hidden="false" customHeight="false" outlineLevel="0" collapsed="false">
      <c r="A35" s="1" t="s">
        <v>41</v>
      </c>
      <c r="B35" s="1" t="s">
        <v>42</v>
      </c>
    </row>
  </sheetData>
  <mergeCells count="7">
    <mergeCell ref="A1:D1"/>
    <mergeCell ref="A3:D3"/>
    <mergeCell ref="A5:D5"/>
    <mergeCell ref="A16:D16"/>
    <mergeCell ref="A18:D18"/>
    <mergeCell ref="A26:C26"/>
    <mergeCell ref="A33:C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8.6796875" defaultRowHeight="15" customHeight="false" zeroHeight="false" outlineLevelRow="0" outlineLevelCol="0"/>
  <cols>
    <col collapsed="false" customWidth="true" hidden="false" outlineLevel="0" max="1" min="1" style="0" width="16.29"/>
    <col collapsed="false" customWidth="true" hidden="false" outlineLevel="0" max="2" min="2" style="0" width="11.29"/>
    <col collapsed="false" customWidth="true" hidden="false" outlineLevel="0" max="3" min="3" style="0" width="12"/>
    <col collapsed="false" customWidth="true" hidden="false" outlineLevel="0" max="4" min="4" style="0" width="17.86"/>
    <col collapsed="false" customWidth="true" hidden="false" outlineLevel="0" max="5" min="5" style="0" width="13.29"/>
    <col collapsed="false" customWidth="true" hidden="false" outlineLevel="0" max="6" min="6" style="0" width="60.29"/>
    <col collapsed="false" customWidth="true" hidden="false" outlineLevel="0" max="7" min="7" style="0" width="74.29"/>
  </cols>
  <sheetData>
    <row r="1" s="21" customFormat="true" ht="15" hidden="false" customHeight="false" outlineLevel="0" collapsed="false">
      <c r="A1" s="19" t="s">
        <v>34</v>
      </c>
      <c r="B1" s="19" t="s">
        <v>43</v>
      </c>
      <c r="C1" s="19" t="s">
        <v>44</v>
      </c>
      <c r="D1" s="19" t="s">
        <v>45</v>
      </c>
      <c r="E1" s="19" t="s">
        <v>46</v>
      </c>
      <c r="F1" s="19" t="s">
        <v>23</v>
      </c>
      <c r="G1" s="19" t="s">
        <v>32</v>
      </c>
    </row>
    <row r="2" customFormat="false" ht="15" hidden="false" customHeight="false" outlineLevel="0" collapsed="false">
      <c r="B2" s="22"/>
      <c r="C2" s="22"/>
    </row>
    <row r="3" customFormat="false" ht="15" hidden="false" customHeight="false" outlineLevel="0" collapsed="false">
      <c r="B3" s="22"/>
      <c r="C3" s="22"/>
    </row>
    <row r="4" customFormat="false" ht="15" hidden="false" customHeight="false" outlineLevel="0" collapsed="false">
      <c r="B4" s="22"/>
      <c r="C4" s="22"/>
    </row>
    <row r="5" customFormat="false" ht="15" hidden="false" customHeight="false" outlineLevel="0" collapsed="false">
      <c r="B5" s="22"/>
    </row>
    <row r="6" customFormat="false" ht="15" hidden="false" customHeight="false" outlineLevel="0" collapsed="false">
      <c r="B6" s="22"/>
    </row>
    <row r="7" customFormat="false" ht="15" hidden="false" customHeight="false" outlineLevel="0" collapsed="false">
      <c r="B7" s="22"/>
      <c r="C7" s="22"/>
    </row>
    <row r="8" customFormat="false" ht="15" hidden="false" customHeight="false" outlineLevel="0" collapsed="false">
      <c r="B8" s="22"/>
      <c r="C8" s="22"/>
    </row>
    <row r="9" customFormat="false" ht="15" hidden="false" customHeight="false" outlineLevel="0" collapsed="false">
      <c r="B9" s="22"/>
    </row>
    <row r="10" customFormat="false" ht="15" hidden="false" customHeight="false" outlineLevel="0" collapsed="false">
      <c r="B10" s="22"/>
      <c r="C10" s="22"/>
    </row>
    <row r="11" customFormat="false" ht="15" hidden="false" customHeight="false" outlineLevel="0" collapsed="false">
      <c r="B11" s="22"/>
      <c r="C11" s="22"/>
    </row>
    <row r="12" customFormat="false" ht="15" hidden="false" customHeight="false" outlineLevel="0" collapsed="false">
      <c r="B12" s="22"/>
      <c r="C12" s="22"/>
    </row>
    <row r="13" customFormat="false" ht="15" hidden="false" customHeight="false" outlineLevel="0" collapsed="false">
      <c r="B13" s="22"/>
      <c r="C13" s="22"/>
    </row>
    <row r="14" customFormat="false" ht="15" hidden="false" customHeight="false" outlineLevel="0" collapsed="false">
      <c r="B14" s="22"/>
      <c r="C14" s="22"/>
    </row>
    <row r="15" customFormat="false" ht="15" hidden="false" customHeight="false" outlineLevel="0" collapsed="false">
      <c r="B15" s="22"/>
    </row>
    <row r="16" customFormat="false" ht="15" hidden="false" customHeight="false" outlineLevel="0" collapsed="false">
      <c r="B16" s="22"/>
      <c r="C16" s="22"/>
    </row>
    <row r="17" customFormat="false" ht="15" hidden="false" customHeight="false" outlineLevel="0" collapsed="false">
      <c r="B17" s="22"/>
      <c r="C17" s="22"/>
    </row>
  </sheetData>
  <dataValidations count="5">
    <dataValidation allowBlank="true" errorStyle="stop" operator="between" showDropDown="false" showErrorMessage="true" showInputMessage="true" sqref="F226:F591" type="list">
      <formula1>"t1,t2"</formula1>
      <formula2>0</formula2>
    </dataValidation>
    <dataValidation allowBlank="true" errorStyle="stop" operator="between" showDropDown="false" showErrorMessage="true" showInputMessage="true" sqref="E230:E1001" type="list">
      <formula1>'A1. Help indicators'!$A$2:$A$15</formula1>
      <formula2>0</formula2>
    </dataValidation>
    <dataValidation allowBlank="true" errorStyle="stop" operator="between" showDropDown="false" showErrorMessage="true" showInputMessage="true" sqref="D2:D229" type="list">
      <formula1>'A1. Help indicators'!$A:$A</formula1>
      <formula2>0</formula2>
    </dataValidation>
    <dataValidation allowBlank="true" errorStyle="stop" operator="between" showDropDown="false" showErrorMessage="true" showInputMessage="true" sqref="E2:E229" type="list">
      <formula1>'A3. Help task moments'!$A:$A</formula1>
      <formula2>0</formula2>
    </dataValidation>
    <dataValidation allowBlank="true" errorStyle="stop" operator="between" showDropDown="false" showErrorMessage="true" showInputMessage="true" sqref="F2:F225" type="list">
      <formula1>'2. Problem table'!$A:$A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 activeCellId="0" sqref="G1"/>
    </sheetView>
  </sheetViews>
  <sheetFormatPr defaultColWidth="8.6796875" defaultRowHeight="15" customHeight="false" zeroHeight="false" outlineLevelRow="0" outlineLevelCol="0"/>
  <cols>
    <col collapsed="false" customWidth="true" hidden="false" outlineLevel="0" max="1" min="1" style="1" width="46.57"/>
    <col collapsed="false" customWidth="true" hidden="false" outlineLevel="0" max="2" min="2" style="0" width="9.42"/>
    <col collapsed="false" customWidth="true" hidden="false" outlineLevel="0" max="3" min="3" style="0" width="11"/>
    <col collapsed="false" customWidth="true" hidden="false" outlineLevel="0" max="7" min="7" style="0" width="70"/>
    <col collapsed="false" customWidth="true" hidden="false" outlineLevel="0" max="9" min="9" style="0" width="43"/>
  </cols>
  <sheetData>
    <row r="1" customFormat="false" ht="15" hidden="false" customHeight="false" outlineLevel="0" collapsed="false">
      <c r="A1" s="23" t="s">
        <v>23</v>
      </c>
      <c r="B1" s="10" t="s">
        <v>26</v>
      </c>
      <c r="C1" s="10" t="s">
        <v>29</v>
      </c>
      <c r="D1" s="24" t="s">
        <v>47</v>
      </c>
      <c r="E1" s="25"/>
      <c r="F1" s="25"/>
    </row>
    <row r="2" customFormat="false" ht="15" hidden="false" customHeight="false" outlineLevel="0" collapsed="false">
      <c r="A2" s="1" t="s">
        <v>48</v>
      </c>
    </row>
    <row r="3" customFormat="false" ht="15" hidden="false" customHeight="false" outlineLevel="0" collapsed="false">
      <c r="A3" s="1" t="s">
        <v>49</v>
      </c>
    </row>
    <row r="4" customFormat="false" ht="15" hidden="false" customHeight="false" outlineLevel="0" collapsed="false">
      <c r="A4" s="1" t="s">
        <v>50</v>
      </c>
      <c r="H4" s="1"/>
      <c r="I4" s="21"/>
    </row>
    <row r="5" customFormat="false" ht="14.25" hidden="false" customHeight="true" outlineLevel="0" collapsed="false">
      <c r="I5" s="26"/>
      <c r="J5" s="26"/>
      <c r="K5" s="1"/>
      <c r="L5" s="1"/>
      <c r="M5" s="1"/>
    </row>
    <row r="6" customFormat="false" ht="15" hidden="false" customHeight="false" outlineLevel="0" collapsed="false">
      <c r="I6" s="26"/>
      <c r="J6" s="26"/>
      <c r="K6" s="1"/>
      <c r="L6" s="1"/>
      <c r="M6" s="1"/>
    </row>
    <row r="7" customFormat="false" ht="28.5" hidden="false" customHeight="true" outlineLevel="0" collapsed="false">
      <c r="I7" s="26"/>
      <c r="J7" s="26"/>
      <c r="K7" s="1"/>
      <c r="L7" s="1"/>
      <c r="M7" s="1"/>
    </row>
    <row r="9" customFormat="false" ht="14.25" hidden="false" customHeight="true" outlineLevel="0" collapsed="false">
      <c r="I9" s="21"/>
    </row>
    <row r="10" customFormat="false" ht="14.25" hidden="false" customHeight="true" outlineLevel="0" collapsed="false">
      <c r="I10" s="1"/>
      <c r="J10" s="1"/>
      <c r="K10" s="1"/>
      <c r="L10" s="1"/>
      <c r="M10" s="1"/>
    </row>
    <row r="11" customFormat="false" ht="28.5" hidden="false" customHeight="true" outlineLevel="0" collapsed="false">
      <c r="I11" s="1"/>
      <c r="J11" s="1"/>
      <c r="K11" s="1"/>
      <c r="L11" s="1"/>
      <c r="M11" s="1"/>
    </row>
    <row r="12" customFormat="false" ht="15" hidden="false" customHeight="false" outlineLevel="0" collapsed="false">
      <c r="I12" s="1"/>
      <c r="J12" s="1"/>
      <c r="K12" s="1"/>
      <c r="L12" s="1"/>
      <c r="M12" s="1"/>
    </row>
    <row r="14" customFormat="false" ht="28.5" hidden="false" customHeight="true" outlineLevel="0" collapsed="false"/>
  </sheetData>
  <mergeCells count="1">
    <mergeCell ref="I5:J7"/>
  </mergeCells>
  <dataValidations count="4">
    <dataValidation allowBlank="true" errorStyle="stop" operator="between" showDropDown="false" showErrorMessage="true" showInputMessage="true" sqref="C2" type="list">
      <formula1>'A5. Help types'!$A:$A</formula1>
      <formula2>0</formula2>
    </dataValidation>
    <dataValidation allowBlank="true" errorStyle="stop" operator="between" showDropDown="false" showErrorMessage="true" showInputMessage="true" sqref="B2:B221" type="list">
      <formula1>'A4. Help severities'!$A:$A</formula1>
      <formula2>0</formula2>
    </dataValidation>
    <dataValidation allowBlank="true" errorStyle="stop" operator="between" showDropDown="false" showErrorMessage="true" showInputMessage="true" sqref="C3:C5 C7:C1004" type="list">
      <formula1>'A4. Help severities'!$A$2:$A$4</formula1>
      <formula2>0</formula2>
    </dataValidation>
    <dataValidation allowBlank="true" errorStyle="stop" operator="between" showDropDown="false" showErrorMessage="true" showInputMessage="true" sqref="C6" type="list">
      <formula1>'a4. help severities'!#ref!</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8.6796875" defaultRowHeight="15" customHeight="false" zeroHeight="false" outlineLevelRow="0" outlineLevelCol="0"/>
  <cols>
    <col collapsed="false" customWidth="true" hidden="false" outlineLevel="0" max="2" min="2" style="0" width="19.14"/>
    <col collapsed="false" customWidth="true" hidden="false" outlineLevel="0" max="3" min="3" style="0" width="20"/>
  </cols>
  <sheetData>
    <row r="1" customFormat="false" ht="15" hidden="false" customHeight="false" outlineLevel="0" collapsed="false">
      <c r="A1" s="21" t="s">
        <v>34</v>
      </c>
      <c r="B1" s="21" t="s">
        <v>35</v>
      </c>
      <c r="C1" s="21" t="s">
        <v>38</v>
      </c>
      <c r="D1" s="21" t="s">
        <v>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859375" defaultRowHeight="15" customHeight="false" zeroHeight="false" outlineLevelRow="0" outlineLevelCol="0"/>
  <cols>
    <col collapsed="false" customWidth="true" hidden="false" outlineLevel="0" max="1" min="1" style="27" width="12.42"/>
    <col collapsed="false" customWidth="true" hidden="false" outlineLevel="0" max="2" min="2" style="28" width="22"/>
    <col collapsed="false" customWidth="true" hidden="false" outlineLevel="0" max="3" min="3" style="28" width="62.71"/>
    <col collapsed="false" customWidth="true" hidden="false" outlineLevel="0" max="4" min="4" style="28" width="19.29"/>
    <col collapsed="false" customWidth="false" hidden="false" outlineLevel="0" max="6" min="5" style="28" width="8.86"/>
    <col collapsed="false" customWidth="true" hidden="false" outlineLevel="0" max="7" min="7" style="28" width="77.29"/>
    <col collapsed="false" customWidth="false" hidden="false" outlineLevel="0" max="16384" min="8" style="28" width="8.86"/>
  </cols>
  <sheetData>
    <row r="1" customFormat="false" ht="15" hidden="false" customHeight="false" outlineLevel="0" collapsed="false">
      <c r="A1" s="29" t="s">
        <v>52</v>
      </c>
      <c r="B1" s="29" t="s">
        <v>53</v>
      </c>
      <c r="C1" s="29" t="s">
        <v>54</v>
      </c>
      <c r="D1" s="30" t="s">
        <v>55</v>
      </c>
      <c r="G1" s="31"/>
    </row>
    <row r="2" customFormat="false" ht="46.25" hidden="false" customHeight="true" outlineLevel="0" collapsed="false">
      <c r="A2" s="18" t="s">
        <v>56</v>
      </c>
      <c r="B2" s="12" t="s">
        <v>57</v>
      </c>
      <c r="C2" s="11" t="s">
        <v>58</v>
      </c>
      <c r="D2" s="32" t="s">
        <v>59</v>
      </c>
      <c r="G2" s="31" t="s">
        <v>60</v>
      </c>
    </row>
    <row r="3" customFormat="false" ht="23.85" hidden="false" customHeight="false" outlineLevel="0" collapsed="false">
      <c r="A3" s="18" t="s">
        <v>61</v>
      </c>
      <c r="B3" s="12" t="s">
        <v>62</v>
      </c>
      <c r="C3" s="11" t="s">
        <v>63</v>
      </c>
      <c r="D3" s="32"/>
    </row>
    <row r="4" customFormat="false" ht="15" hidden="false" customHeight="false" outlineLevel="0" collapsed="false">
      <c r="A4" s="18" t="s">
        <v>64</v>
      </c>
      <c r="B4" s="12" t="s">
        <v>65</v>
      </c>
      <c r="C4" s="12" t="s">
        <v>66</v>
      </c>
      <c r="D4" s="32"/>
    </row>
    <row r="5" customFormat="false" ht="15" hidden="false" customHeight="false" outlineLevel="0" collapsed="false">
      <c r="A5" s="18" t="s">
        <v>67</v>
      </c>
      <c r="B5" s="12" t="s">
        <v>68</v>
      </c>
      <c r="C5" s="12" t="s">
        <v>69</v>
      </c>
      <c r="D5" s="32"/>
    </row>
    <row r="6" customFormat="false" ht="23.85" hidden="false" customHeight="false" outlineLevel="0" collapsed="false">
      <c r="A6" s="18" t="s">
        <v>70</v>
      </c>
      <c r="B6" s="12" t="s">
        <v>71</v>
      </c>
      <c r="C6" s="11" t="s">
        <v>72</v>
      </c>
      <c r="D6" s="32"/>
    </row>
    <row r="7" customFormat="false" ht="15" hidden="false" customHeight="false" outlineLevel="0" collapsed="false">
      <c r="A7" s="19" t="s">
        <v>73</v>
      </c>
      <c r="B7" s="15" t="s">
        <v>74</v>
      </c>
      <c r="C7" s="15" t="s">
        <v>75</v>
      </c>
      <c r="D7" s="32"/>
    </row>
    <row r="8" customFormat="false" ht="23.85" hidden="false" customHeight="true" outlineLevel="0" collapsed="false">
      <c r="A8" s="18" t="s">
        <v>76</v>
      </c>
      <c r="B8" s="12" t="s">
        <v>77</v>
      </c>
      <c r="C8" s="11" t="s">
        <v>78</v>
      </c>
      <c r="D8" s="32" t="s">
        <v>79</v>
      </c>
    </row>
    <row r="9" customFormat="false" ht="35.05" hidden="false" customHeight="false" outlineLevel="0" collapsed="false">
      <c r="A9" s="18" t="s">
        <v>80</v>
      </c>
      <c r="B9" s="12" t="s">
        <v>81</v>
      </c>
      <c r="C9" s="11" t="s">
        <v>82</v>
      </c>
      <c r="D9" s="32"/>
    </row>
    <row r="10" customFormat="false" ht="23.85" hidden="false" customHeight="false" outlineLevel="0" collapsed="false">
      <c r="A10" s="18" t="s">
        <v>83</v>
      </c>
      <c r="B10" s="12" t="s">
        <v>84</v>
      </c>
      <c r="C10" s="11" t="s">
        <v>85</v>
      </c>
      <c r="D10" s="32"/>
    </row>
    <row r="11" customFormat="false" ht="35.05" hidden="false" customHeight="false" outlineLevel="0" collapsed="false">
      <c r="A11" s="18" t="s">
        <v>86</v>
      </c>
      <c r="B11" s="12" t="s">
        <v>87</v>
      </c>
      <c r="C11" s="11" t="s">
        <v>88</v>
      </c>
      <c r="D11" s="32"/>
    </row>
    <row r="12" customFormat="false" ht="35.05" hidden="false" customHeight="false" outlineLevel="0" collapsed="false">
      <c r="A12" s="18" t="s">
        <v>89</v>
      </c>
      <c r="B12" s="11" t="s">
        <v>90</v>
      </c>
      <c r="C12" s="11" t="s">
        <v>91</v>
      </c>
      <c r="D12" s="32"/>
    </row>
    <row r="13" customFormat="false" ht="57.45" hidden="false" customHeight="false" outlineLevel="0" collapsed="false">
      <c r="A13" s="18" t="s">
        <v>92</v>
      </c>
      <c r="B13" s="12" t="s">
        <v>93</v>
      </c>
      <c r="C13" s="11" t="s">
        <v>94</v>
      </c>
      <c r="D13" s="32"/>
    </row>
    <row r="14" customFormat="false" ht="35.05" hidden="false" customHeight="false" outlineLevel="0" collapsed="false">
      <c r="A14" s="18" t="s">
        <v>95</v>
      </c>
      <c r="B14" s="11" t="s">
        <v>96</v>
      </c>
      <c r="C14" s="11" t="s">
        <v>97</v>
      </c>
      <c r="D14" s="32"/>
    </row>
    <row r="15" customFormat="false" ht="35.05" hidden="false" customHeight="false" outlineLevel="0" collapsed="false">
      <c r="A15" s="19" t="s">
        <v>98</v>
      </c>
      <c r="B15" s="15" t="s">
        <v>99</v>
      </c>
      <c r="C15" s="14" t="s">
        <v>100</v>
      </c>
      <c r="D15" s="32"/>
    </row>
  </sheetData>
  <mergeCells count="2">
    <mergeCell ref="D2:D7"/>
    <mergeCell ref="D8:D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2" activeCellId="0" sqref="C12"/>
    </sheetView>
  </sheetViews>
  <sheetFormatPr defaultColWidth="8.6796875" defaultRowHeight="15" customHeight="false" zeroHeight="false" outlineLevelRow="0" outlineLevelCol="0"/>
  <cols>
    <col collapsed="false" customWidth="true" hidden="false" outlineLevel="0" max="1" min="1" style="0" width="109.57"/>
  </cols>
  <sheetData>
    <row r="1" customFormat="false" ht="15" hidden="false" customHeight="true" outlineLevel="0" collapsed="false">
      <c r="A1" s="6" t="s">
        <v>101</v>
      </c>
    </row>
    <row r="2" customFormat="false" ht="15" hidden="false" customHeight="false" outlineLevel="0" collapsed="false">
      <c r="A2" s="6"/>
    </row>
    <row r="3" customFormat="false" ht="15" hidden="false" customHeight="false" outlineLevel="0" collapsed="false">
      <c r="A3" s="6"/>
    </row>
    <row r="4" customFormat="false" ht="15" hidden="false" customHeight="false" outlineLevel="0" collapsed="false">
      <c r="A4" s="6"/>
    </row>
    <row r="5" customFormat="false" ht="15" hidden="false" customHeight="false" outlineLevel="0" collapsed="false">
      <c r="A5" s="6"/>
    </row>
    <row r="6" customFormat="false" ht="15" hidden="false" customHeight="false" outlineLevel="0" collapsed="false">
      <c r="A6" s="6"/>
    </row>
    <row r="7" customFormat="false" ht="15" hidden="false" customHeight="false" outlineLevel="0" collapsed="false">
      <c r="A7" s="6"/>
    </row>
    <row r="8" customFormat="false" ht="15" hidden="false" customHeight="false" outlineLevel="0" collapsed="false">
      <c r="A8" s="6"/>
    </row>
    <row r="9" customFormat="false" ht="15" hidden="false" customHeight="false" outlineLevel="0" collapsed="false">
      <c r="A9" s="6"/>
    </row>
    <row r="10" customFormat="false" ht="15" hidden="false" customHeight="false" outlineLevel="0" collapsed="false">
      <c r="A10" s="6"/>
    </row>
    <row r="11" customFormat="false" ht="15" hidden="false" customHeight="false" outlineLevel="0" collapsed="false">
      <c r="A11" s="6"/>
    </row>
    <row r="12" customFormat="false" ht="15" hidden="false" customHeight="false" outlineLevel="0" collapsed="false">
      <c r="A12" s="6"/>
    </row>
    <row r="13" customFormat="false" ht="15" hidden="false" customHeight="false" outlineLevel="0" collapsed="false">
      <c r="A13" s="6"/>
    </row>
    <row r="14" customFormat="false" ht="15" hidden="false" customHeight="false" outlineLevel="0" collapsed="false">
      <c r="A14" s="6"/>
    </row>
    <row r="15" customFormat="false" ht="15" hidden="false" customHeight="false" outlineLevel="0" collapsed="false">
      <c r="A15" s="6"/>
    </row>
    <row r="16" customFormat="false" ht="15" hidden="false" customHeight="false" outlineLevel="0" collapsed="false">
      <c r="A16" s="6"/>
    </row>
    <row r="17" customFormat="false" ht="15" hidden="false" customHeight="false" outlineLevel="0" collapsed="false">
      <c r="A17" s="6"/>
    </row>
    <row r="18" customFormat="false" ht="15" hidden="false" customHeight="false" outlineLevel="0" collapsed="false">
      <c r="A18" s="6"/>
    </row>
    <row r="19" customFormat="false" ht="15" hidden="false" customHeight="false" outlineLevel="0" collapsed="false">
      <c r="A19" s="6"/>
    </row>
    <row r="20" customFormat="false" ht="15" hidden="false" customHeight="false" outlineLevel="0" collapsed="false">
      <c r="A20" s="6"/>
    </row>
    <row r="21" customFormat="false" ht="15" hidden="false" customHeight="false" outlineLevel="0" collapsed="false">
      <c r="A21" s="6"/>
    </row>
    <row r="22" customFormat="false" ht="15" hidden="false" customHeight="false" outlineLevel="0" collapsed="false">
      <c r="A22" s="6"/>
    </row>
    <row r="23" customFormat="false" ht="15" hidden="false" customHeight="false" outlineLevel="0" collapsed="false">
      <c r="A23" s="6"/>
    </row>
    <row r="24" customFormat="false" ht="15" hidden="false" customHeight="false" outlineLevel="0" collapsed="false">
      <c r="A24" s="6"/>
    </row>
    <row r="25" customFormat="false" ht="15" hidden="false" customHeight="false" outlineLevel="0" collapsed="false">
      <c r="A25" s="6"/>
    </row>
    <row r="26" customFormat="false" ht="15" hidden="false" customHeight="false" outlineLevel="0" collapsed="false">
      <c r="A26" s="6"/>
    </row>
    <row r="27" customFormat="false" ht="15" hidden="false" customHeight="false" outlineLevel="0" collapsed="false">
      <c r="A27" s="6"/>
    </row>
    <row r="28" customFormat="false" ht="15" hidden="false" customHeight="false" outlineLevel="0" collapsed="false">
      <c r="A28" s="6"/>
    </row>
    <row r="29" customFormat="false" ht="15" hidden="false" customHeight="false" outlineLevel="0" collapsed="false">
      <c r="A29" s="6"/>
    </row>
    <row r="30" customFormat="false" ht="15" hidden="false" customHeight="false" outlineLevel="0" collapsed="false">
      <c r="A30" s="6"/>
    </row>
    <row r="31" customFormat="false" ht="15" hidden="false" customHeight="false" outlineLevel="0" collapsed="false">
      <c r="A31" s="6"/>
    </row>
    <row r="32" customFormat="false" ht="15" hidden="false" customHeight="false" outlineLevel="0" collapsed="false">
      <c r="A32" s="6"/>
    </row>
    <row r="33" customFormat="false" ht="15" hidden="false" customHeight="false" outlineLevel="0" collapsed="false">
      <c r="A33" s="6"/>
    </row>
    <row r="34" customFormat="false" ht="15" hidden="false" customHeight="false" outlineLevel="0" collapsed="false">
      <c r="A34" s="6"/>
    </row>
    <row r="35" customFormat="false" ht="15" hidden="false" customHeight="false" outlineLevel="0" collapsed="false">
      <c r="A35" s="6"/>
    </row>
    <row r="36" customFormat="false" ht="15" hidden="false" customHeight="false" outlineLevel="0" collapsed="false">
      <c r="A36" s="6"/>
    </row>
    <row r="37" customFormat="false" ht="15" hidden="false" customHeight="false" outlineLevel="0" collapsed="false">
      <c r="A37" s="6"/>
    </row>
    <row r="38" customFormat="false" ht="15" hidden="false" customHeight="false" outlineLevel="0" collapsed="false">
      <c r="A38" s="6"/>
    </row>
    <row r="39" customFormat="false" ht="15" hidden="false" customHeight="false" outlineLevel="0" collapsed="false">
      <c r="A39" s="6"/>
    </row>
    <row r="40" customFormat="false" ht="15" hidden="false" customHeight="false" outlineLevel="0" collapsed="false">
      <c r="A40" s="6"/>
    </row>
    <row r="41" customFormat="false" ht="15" hidden="false" customHeight="false" outlineLevel="0" collapsed="false">
      <c r="A41" s="6"/>
    </row>
    <row r="42" customFormat="false" ht="15" hidden="false" customHeight="false" outlineLevel="0" collapsed="false">
      <c r="A42" s="6"/>
    </row>
    <row r="43" customFormat="false" ht="15" hidden="false" customHeight="false" outlineLevel="0" collapsed="false">
      <c r="A43" s="6"/>
    </row>
  </sheetData>
  <mergeCells count="1">
    <mergeCell ref="A1:A4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9.00390625" defaultRowHeight="15" customHeight="false" zeroHeight="false" outlineLevelRow="0" outlineLevelCol="0"/>
  <cols>
    <col collapsed="false" customWidth="true" hidden="false" outlineLevel="0" max="1" min="1" style="27" width="23.57"/>
    <col collapsed="false" customWidth="true" hidden="false" outlineLevel="0" max="2" min="2" style="7" width="54.71"/>
    <col collapsed="false" customWidth="true" hidden="false" outlineLevel="0" max="3" min="3" style="28" width="36.15"/>
    <col collapsed="false" customWidth="false" hidden="false" outlineLevel="0" max="16384" min="4" style="28" width="9"/>
  </cols>
  <sheetData>
    <row r="1" customFormat="false" ht="15" hidden="false" customHeight="false" outlineLevel="0" collapsed="false">
      <c r="A1" s="9" t="s">
        <v>102</v>
      </c>
      <c r="B1" s="8" t="s">
        <v>4</v>
      </c>
      <c r="C1" s="9" t="s">
        <v>103</v>
      </c>
      <c r="D1" s="9" t="s">
        <v>104</v>
      </c>
    </row>
    <row r="2" customFormat="false" ht="23.85" hidden="false" customHeight="false" outlineLevel="0" collapsed="false">
      <c r="A2" s="18" t="s">
        <v>105</v>
      </c>
      <c r="B2" s="11" t="s">
        <v>106</v>
      </c>
      <c r="C2" s="11" t="s">
        <v>107</v>
      </c>
      <c r="D2" s="12" t="s">
        <v>8</v>
      </c>
    </row>
    <row r="3" customFormat="false" ht="35.05" hidden="false" customHeight="false" outlineLevel="0" collapsed="false">
      <c r="A3" s="18" t="s">
        <v>0</v>
      </c>
      <c r="B3" s="11" t="s">
        <v>108</v>
      </c>
      <c r="C3" s="12"/>
      <c r="D3" s="12"/>
    </row>
    <row r="4" customFormat="false" ht="23.85" hidden="false" customHeight="false" outlineLevel="0" collapsed="false">
      <c r="A4" s="18" t="s">
        <v>109</v>
      </c>
      <c r="B4" s="11" t="s">
        <v>110</v>
      </c>
      <c r="C4" s="12"/>
      <c r="D4" s="12" t="s">
        <v>8</v>
      </c>
    </row>
    <row r="5" customFormat="false" ht="23.85" hidden="false" customHeight="false" outlineLevel="0" collapsed="false">
      <c r="A5" s="18" t="s">
        <v>111</v>
      </c>
      <c r="B5" s="11" t="s">
        <v>112</v>
      </c>
      <c r="C5" s="12" t="s">
        <v>113</v>
      </c>
      <c r="D5" s="12"/>
    </row>
    <row r="6" customFormat="false" ht="23.85" hidden="false" customHeight="false" outlineLevel="0" collapsed="false">
      <c r="A6" s="18" t="s">
        <v>114</v>
      </c>
      <c r="B6" s="11" t="s">
        <v>115</v>
      </c>
      <c r="C6" s="12"/>
      <c r="D6" s="12"/>
    </row>
    <row r="7" customFormat="false" ht="23.85" hidden="false" customHeight="false" outlineLevel="0" collapsed="false">
      <c r="A7" s="18" t="s">
        <v>116</v>
      </c>
      <c r="B7" s="11" t="s">
        <v>117</v>
      </c>
      <c r="C7" s="12" t="s">
        <v>118</v>
      </c>
      <c r="D7" s="12" t="s">
        <v>8</v>
      </c>
    </row>
    <row r="8" customFormat="false" ht="15" hidden="false" customHeight="false" outlineLevel="0" collapsed="false">
      <c r="A8" s="18" t="s">
        <v>119</v>
      </c>
      <c r="B8" s="11" t="s">
        <v>120</v>
      </c>
      <c r="C8" s="12"/>
      <c r="D8" s="12"/>
    </row>
    <row r="9" customFormat="false" ht="15" hidden="false" customHeight="false" outlineLevel="0" collapsed="false">
      <c r="A9" s="19" t="s">
        <v>121</v>
      </c>
      <c r="B9" s="14" t="s">
        <v>122</v>
      </c>
      <c r="C9" s="15"/>
      <c r="D9" s="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2" activeCellId="0" sqref="E22"/>
    </sheetView>
  </sheetViews>
  <sheetFormatPr defaultColWidth="8.859375" defaultRowHeight="15" customHeight="false" zeroHeight="false" outlineLevelRow="0" outlineLevelCol="0"/>
  <cols>
    <col collapsed="false" customWidth="false" hidden="false" outlineLevel="0" max="1" min="1" style="28" width="8.86"/>
    <col collapsed="false" customWidth="true" hidden="false" outlineLevel="0" max="2" min="2" style="28" width="34"/>
    <col collapsed="false" customWidth="true" hidden="false" outlineLevel="0" max="3" min="3" style="7" width="40.43"/>
    <col collapsed="false" customWidth="true" hidden="false" outlineLevel="0" max="4" min="4" style="28" width="36.71"/>
    <col collapsed="false" customWidth="true" hidden="false" outlineLevel="0" max="5" min="5" style="28" width="20.42"/>
    <col collapsed="false" customWidth="true" hidden="false" outlineLevel="0" max="6" min="6" style="28" width="70.29"/>
    <col collapsed="false" customWidth="false" hidden="false" outlineLevel="0" max="8" min="7" style="28" width="8.86"/>
    <col collapsed="false" customWidth="true" hidden="false" outlineLevel="0" max="9" min="9" style="28" width="79.71"/>
    <col collapsed="false" customWidth="false" hidden="false" outlineLevel="0" max="16384" min="10" style="28" width="8.86"/>
  </cols>
  <sheetData>
    <row r="1" customFormat="false" ht="15" hidden="false" customHeight="false" outlineLevel="0" collapsed="false">
      <c r="A1" s="9" t="s">
        <v>123</v>
      </c>
      <c r="B1" s="9" t="s">
        <v>124</v>
      </c>
      <c r="C1" s="8" t="s">
        <v>125</v>
      </c>
      <c r="D1" s="9" t="s">
        <v>126</v>
      </c>
      <c r="E1" s="27"/>
    </row>
    <row r="2" customFormat="false" ht="57.45" hidden="false" customHeight="false" outlineLevel="0" collapsed="false">
      <c r="A2" s="18" t="s">
        <v>127</v>
      </c>
      <c r="B2" s="12" t="s">
        <v>128</v>
      </c>
      <c r="C2" s="11" t="s">
        <v>129</v>
      </c>
      <c r="D2" s="12"/>
      <c r="F2" s="31" t="s">
        <v>130</v>
      </c>
    </row>
    <row r="3" customFormat="false" ht="57.45" hidden="false" customHeight="false" outlineLevel="0" collapsed="false">
      <c r="A3" s="18" t="s">
        <v>131</v>
      </c>
      <c r="B3" s="12" t="s">
        <v>132</v>
      </c>
      <c r="C3" s="11" t="s">
        <v>133</v>
      </c>
      <c r="D3" s="11" t="s">
        <v>134</v>
      </c>
      <c r="I3" s="7"/>
    </row>
    <row r="4" customFormat="false" ht="23.85" hidden="false" customHeight="false" outlineLevel="0" collapsed="false">
      <c r="A4" s="19" t="s">
        <v>135</v>
      </c>
      <c r="B4" s="15" t="s">
        <v>136</v>
      </c>
      <c r="C4" s="14" t="s">
        <v>137</v>
      </c>
      <c r="D4" s="15"/>
      <c r="I4" s="7"/>
    </row>
    <row r="5" customFormat="false" ht="15" hidden="false" customHeight="false" outlineLevel="0" collapsed="false">
      <c r="I5" s="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8" activeCellId="0" sqref="G18"/>
    </sheetView>
  </sheetViews>
  <sheetFormatPr defaultColWidth="8.859375" defaultRowHeight="15" customHeight="false" zeroHeight="false" outlineLevelRow="0" outlineLevelCol="0"/>
  <cols>
    <col collapsed="false" customWidth="true" hidden="false" outlineLevel="0" max="1" min="1" style="31" width="14"/>
    <col collapsed="false" customWidth="true" hidden="false" outlineLevel="0" max="2" min="2" style="7" width="39.57"/>
    <col collapsed="false" customWidth="true" hidden="false" outlineLevel="0" max="3" min="3" style="7" width="43.71"/>
    <col collapsed="false" customWidth="false" hidden="false" outlineLevel="0" max="7" min="4" style="7" width="8.86"/>
    <col collapsed="false" customWidth="true" hidden="false" outlineLevel="0" max="8" min="8" style="7" width="59.14"/>
    <col collapsed="false" customWidth="false" hidden="false" outlineLevel="0" max="16384" min="9" style="7" width="8.86"/>
  </cols>
  <sheetData>
    <row r="1" customFormat="false" ht="15" hidden="false" customHeight="false" outlineLevel="0" collapsed="false">
      <c r="A1" s="33" t="s">
        <v>138</v>
      </c>
      <c r="B1" s="33" t="s">
        <v>54</v>
      </c>
      <c r="C1" s="33" t="s">
        <v>103</v>
      </c>
    </row>
    <row r="2" customFormat="false" ht="35.05" hidden="false" customHeight="false" outlineLevel="0" collapsed="false">
      <c r="A2" s="31" t="s">
        <v>139</v>
      </c>
      <c r="B2" s="7" t="s">
        <v>140</v>
      </c>
      <c r="C2" s="7" t="s">
        <v>141</v>
      </c>
    </row>
    <row r="3" customFormat="false" ht="46.25" hidden="false" customHeight="false" outlineLevel="0" collapsed="false">
      <c r="A3" s="31" t="s">
        <v>142</v>
      </c>
      <c r="B3" s="7" t="s">
        <v>143</v>
      </c>
      <c r="C3" s="7" t="s">
        <v>144</v>
      </c>
      <c r="H3" s="31" t="s">
        <v>145</v>
      </c>
    </row>
    <row r="4" customFormat="false" ht="46.25" hidden="false" customHeight="false" outlineLevel="0" collapsed="false">
      <c r="A4" s="31" t="s">
        <v>146</v>
      </c>
      <c r="B4" s="7" t="s">
        <v>147</v>
      </c>
      <c r="C4" s="7" t="s">
        <v>148</v>
      </c>
    </row>
    <row r="5" customFormat="false" ht="35.05" hidden="false" customHeight="false" outlineLevel="0" collapsed="false">
      <c r="A5" s="34" t="s">
        <v>149</v>
      </c>
      <c r="B5" s="35" t="s">
        <v>150</v>
      </c>
      <c r="C5" s="35" t="s">
        <v>151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Collabora_Office/25.04.9.2$Linux_X86_64 LibreOffice_project/527ec00b044fb9eff6642dcb6ee8eb5946fc1d61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2023-06-07T08:16:15Z</dcterms:created>
  <dc:creator/>
  <dc:description/>
  <dc:language>es-ES</dc:language>
  <cp:lastModifiedBy/>
  <cp:lastPrinted>2026-08-13T14:49:36Z</cp:lastPrinted>
  <dcterms:modified xsi:type="dcterms:W3CDTF">2023-06-09T17:25:11Z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